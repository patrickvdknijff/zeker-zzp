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komsten" sheetId="2" state="visible" r:id="rId2"/>
    <sheet xmlns:r="http://schemas.openxmlformats.org/officeDocument/2006/relationships" name="Uitgaven" sheetId="3" state="visible" r:id="rId3"/>
    <sheet xmlns:r="http://schemas.openxmlformats.org/officeDocument/2006/relationships" name="BTW-aangif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.00"/>
    <numFmt numFmtId="165" formatCode="0&quot;%&quot;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0D7C66"/>
      <sz val="11"/>
    </font>
    <font>
      <name val="Arial"/>
      <b val="1"/>
      <color rgb="000D7C66"/>
      <sz val="13"/>
    </font>
    <font>
      <name val="Arial"/>
      <b val="1"/>
      <color rgb="00C9350F"/>
      <sz val="11"/>
    </font>
    <font>
      <name val="Arial"/>
      <b val="1"/>
      <color rgb="00C9350F"/>
      <sz val="13"/>
    </font>
    <font>
      <name val="Arial"/>
      <b val="1"/>
      <color rgb="000F1F2E"/>
      <sz val="11"/>
    </font>
    <font>
      <name val="Arial"/>
      <b val="1"/>
      <color rgb="000F1F2E"/>
      <sz val="13"/>
    </font>
    <font>
      <name val="Arial"/>
      <b val="1"/>
      <color rgb="00F0A500"/>
      <sz val="11"/>
    </font>
    <font>
      <name val="Arial"/>
      <b val="1"/>
      <color rgb="00F0A500"/>
      <sz val="13"/>
    </font>
    <font>
      <name val="Arial"/>
      <color rgb="000F1F2E"/>
      <sz val="10"/>
    </font>
    <font>
      <name val="Arial"/>
      <b val="1"/>
      <color rgb="000D7C66"/>
      <sz val="10"/>
    </font>
    <font>
      <name val="Arial"/>
      <b val="1"/>
      <color rgb="00FFFFFF"/>
      <sz val="13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D7C66"/>
      <sz val="10"/>
    </font>
    <font>
      <name val="Arial"/>
      <color rgb="000D7C66"/>
      <sz val="11"/>
    </font>
    <font>
      <name val="Arial"/>
      <color rgb="00C9350F"/>
      <sz val="10"/>
    </font>
    <font>
      <name val="Arial"/>
      <color rgb="00C9350F"/>
      <sz val="11"/>
    </font>
    <font>
      <name val="Arial"/>
      <b val="1"/>
      <color rgb="00F0A500"/>
      <sz val="10"/>
    </font>
    <font>
      <name val="Arial"/>
      <b val="1"/>
      <color rgb="000F1F2E"/>
      <sz val="10"/>
    </font>
    <font>
      <name val="Arial"/>
      <color rgb="000F1F2E"/>
      <sz val="11"/>
    </font>
  </fonts>
  <fills count="10">
    <fill>
      <patternFill/>
    </fill>
    <fill>
      <patternFill patternType="gray125"/>
    </fill>
    <fill>
      <patternFill patternType="solid">
        <fgColor rgb="000F1F2E"/>
      </patternFill>
    </fill>
    <fill>
      <patternFill patternType="solid">
        <fgColor rgb="000D7C66"/>
      </patternFill>
    </fill>
    <fill>
      <patternFill patternType="solid">
        <fgColor rgb="00E6F7F4"/>
      </patternFill>
    </fill>
    <fill>
      <patternFill patternType="solid">
        <fgColor rgb="00FDEAE4"/>
      </patternFill>
    </fill>
    <fill>
      <patternFill patternType="solid">
        <fgColor rgb="00F6F3EE"/>
      </patternFill>
    </fill>
    <fill>
      <patternFill patternType="solid">
        <fgColor rgb="00FFF8E6"/>
      </patternFill>
    </fill>
    <fill>
      <patternFill patternType="solid">
        <fgColor rgb="00FFFFFF"/>
      </patternFill>
    </fill>
    <fill>
      <patternFill patternType="solid">
        <fgColor rgb="00F0A500"/>
      </patternFill>
    </fill>
  </fills>
  <borders count="2">
    <border>
      <left/>
      <right/>
      <top/>
      <bottom/>
      <diagonal/>
    </border>
    <border>
      <left style="thin">
        <color rgb="00ECE8E0"/>
      </left>
      <right style="thin">
        <color rgb="00ECE8E0"/>
      </right>
      <top style="thin">
        <color rgb="00ECE8E0"/>
      </top>
      <bottom style="thin">
        <color rgb="00ECE8E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indent="1"/>
    </xf>
    <xf numFmtId="164" fontId="9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 indent="1"/>
    </xf>
    <xf numFmtId="164" fontId="11" fillId="7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right" vertical="center"/>
    </xf>
    <xf numFmtId="0" fontId="14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164" fontId="16" fillId="4" borderId="1" applyAlignment="1" pivotButton="0" quotePrefix="0" xfId="0">
      <alignment horizontal="right" vertical="center"/>
    </xf>
    <xf numFmtId="165" fontId="16" fillId="4" borderId="1" applyAlignment="1" pivotButton="0" quotePrefix="0" xfId="0">
      <alignment horizontal="center" vertical="center"/>
    </xf>
    <xf numFmtId="164" fontId="17" fillId="4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164" fontId="16" fillId="8" borderId="1" applyAlignment="1" pivotButton="0" quotePrefix="0" xfId="0">
      <alignment horizontal="right" vertical="center"/>
    </xf>
    <xf numFmtId="165" fontId="16" fillId="8" borderId="1" applyAlignment="1" pivotButton="0" quotePrefix="0" xfId="0">
      <alignment horizontal="center" vertical="center"/>
    </xf>
    <xf numFmtId="164" fontId="17" fillId="8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8" borderId="1" pivotButton="0" quotePrefix="0" xfId="0"/>
    <xf numFmtId="0" fontId="18" fillId="3" borderId="1" applyAlignment="1" pivotButton="0" quotePrefix="0" xfId="0">
      <alignment horizontal="right" vertical="center"/>
    </xf>
    <xf numFmtId="164" fontId="18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14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164" fontId="16" fillId="5" borderId="1" applyAlignment="1" pivotButton="0" quotePrefix="0" xfId="0">
      <alignment horizontal="right" vertical="center"/>
    </xf>
    <xf numFmtId="165" fontId="16" fillId="5" borderId="1" applyAlignment="1" pivotButton="0" quotePrefix="0" xfId="0">
      <alignment horizontal="center" vertical="center"/>
    </xf>
    <xf numFmtId="164" fontId="17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15" fillId="5" borderId="1" applyAlignment="1" pivotButton="0" quotePrefix="0" xfId="0">
      <alignment horizontal="right" vertical="center"/>
    </xf>
    <xf numFmtId="164" fontId="15" fillId="8" borderId="1" applyAlignment="1" pivotButton="0" quotePrefix="0" xfId="0">
      <alignment horizontal="right" vertical="center"/>
    </xf>
    <xf numFmtId="0" fontId="18" fillId="2" borderId="1" applyAlignment="1" pivotButton="0" quotePrefix="0" xfId="0">
      <alignment horizontal="right" vertical="center"/>
    </xf>
    <xf numFmtId="164" fontId="18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9" fillId="9" borderId="0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indent="1"/>
    </xf>
    <xf numFmtId="0" fontId="19" fillId="4" borderId="1" applyAlignment="1" pivotButton="0" quotePrefix="0" xfId="0">
      <alignment horizontal="left" vertical="center" indent="1"/>
    </xf>
    <xf numFmtId="164" fontId="20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indent="1"/>
    </xf>
    <xf numFmtId="0" fontId="21" fillId="5" borderId="1" applyAlignment="1" pivotButton="0" quotePrefix="0" xfId="0">
      <alignment horizontal="left" vertical="center" indent="1"/>
    </xf>
    <xf numFmtId="164" fontId="2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indent="1"/>
    </xf>
    <xf numFmtId="0" fontId="23" fillId="7" borderId="1" applyAlignment="1" pivotButton="0" quotePrefix="0" xfId="0">
      <alignment horizontal="left" vertical="center" indent="1"/>
    </xf>
    <xf numFmtId="164" fontId="10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 indent="1"/>
    </xf>
    <xf numFmtId="0" fontId="24" fillId="6" borderId="1" applyAlignment="1" pivotButton="0" quotePrefix="0" xfId="0">
      <alignment horizontal="left" vertical="center" indent="1"/>
    </xf>
    <xf numFmtId="164" fontId="8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indent="1"/>
    </xf>
    <xf numFmtId="0" fontId="13" fillId="4" borderId="1" applyAlignment="1" pivotButton="0" quotePrefix="0" xfId="0">
      <alignment horizontal="left" vertical="center" indent="1"/>
    </xf>
    <xf numFmtId="164" fontId="4" fillId="4" borderId="1" applyAlignment="1" pivotButton="0" quotePrefix="0" xfId="0">
      <alignment horizontal="right" vertical="center"/>
    </xf>
    <xf numFmtId="0" fontId="25" fillId="6" borderId="1" applyAlignment="1" pivotButton="0" quotePrefix="0" xfId="0">
      <alignment horizontal="right" vertical="center"/>
    </xf>
    <xf numFmtId="0" fontId="25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ZEKER ZZP — Kwartaaloverzicht</t>
        </is>
      </c>
    </row>
    <row r="2" ht="18" customHeight="1">
      <c r="A2" s="2" t="inlineStr">
        <is>
          <t>Vul dit template in via zeker-zzp.nl → Kwartaaltool → Excel exporteren</t>
        </is>
      </c>
    </row>
    <row r="3" ht="10" customHeight="1"/>
    <row r="4" ht="22" customHeight="1">
      <c r="A4" s="3" t="inlineStr">
        <is>
          <t>SAMENVATTING</t>
        </is>
      </c>
    </row>
    <row r="5" ht="22" customHeight="1">
      <c r="A5" s="4" t="inlineStr">
        <is>
          <t>💰 Totale inkomsten (excl. BTW)</t>
        </is>
      </c>
      <c r="D5" s="5">
        <f>SUM(Inkomsten!E:E)-SUM(Inkomsten!E1:E4)</f>
        <v/>
      </c>
    </row>
    <row r="6" ht="22" customHeight="1">
      <c r="A6" s="6" t="inlineStr">
        <is>
          <t>💸 Totale uitgaven (excl. BTW)</t>
        </is>
      </c>
      <c r="D6" s="7">
        <f>SUM(Uitgaven!E:E)-SUM(Uitgaven!E1:E4)</f>
        <v/>
      </c>
    </row>
    <row r="7" ht="22" customHeight="1">
      <c r="A7" s="8" t="inlineStr">
        <is>
          <t>📊 Winst (excl. BTW)</t>
        </is>
      </c>
      <c r="D7" s="9">
        <f>D5-D6</f>
        <v/>
      </c>
    </row>
    <row r="8" ht="22" customHeight="1">
      <c r="A8" s="10" t="inlineStr">
        <is>
          <t>🧾 BTW-saldo (te betalen / terug)</t>
        </is>
      </c>
      <c r="D8" s="11">
        <f>(SUM(Inkomsten!G:G)-SUM(Inkomsten!G1:G4))-(SUM(Uitgaven!G:G)-SUM(Uitgaven!G1:G4))</f>
        <v/>
      </c>
    </row>
    <row r="9" ht="22" customHeight="1">
      <c r="A9" s="4" t="inlineStr">
        <is>
          <t>💵 Netto in je zak</t>
        </is>
      </c>
      <c r="D9" s="5">
        <f>D7-IF(D8&gt;0,D8,0)</f>
        <v/>
      </c>
    </row>
    <row r="11" ht="10" customHeight="1"/>
    <row r="12" ht="22" customHeight="1">
      <c r="A12" s="12" t="inlineStr">
        <is>
          <t>BTW-DEADLINES 2025</t>
        </is>
      </c>
    </row>
    <row r="13" ht="20" customHeight="1">
      <c r="A13" s="13" t="inlineStr">
        <is>
          <t>K1 (jan - mrt)</t>
        </is>
      </c>
      <c r="E13" s="14" t="inlineStr">
        <is>
          <t>30 april 2025</t>
        </is>
      </c>
    </row>
    <row r="14" ht="20" customHeight="1">
      <c r="A14" s="15" t="inlineStr">
        <is>
          <t>K2 (apr - jun)</t>
        </is>
      </c>
      <c r="E14" s="16" t="inlineStr">
        <is>
          <t>31 juli 2025</t>
        </is>
      </c>
    </row>
    <row r="15" ht="20" customHeight="1">
      <c r="A15" s="13" t="inlineStr">
        <is>
          <t>K3 (jul - sep)</t>
        </is>
      </c>
      <c r="E15" s="14" t="inlineStr">
        <is>
          <t>31 oktober 2025</t>
        </is>
      </c>
    </row>
    <row r="16" ht="20" customHeight="1">
      <c r="A16" s="15" t="inlineStr">
        <is>
          <t>K4 (okt - dec)</t>
        </is>
      </c>
      <c r="E16" s="16" t="inlineStr">
        <is>
          <t>31 januari 2026</t>
        </is>
      </c>
    </row>
  </sheetData>
  <mergeCells count="22">
    <mergeCell ref="E16:H16"/>
    <mergeCell ref="A1:H1"/>
    <mergeCell ref="A13:D13"/>
    <mergeCell ref="D6:H6"/>
    <mergeCell ref="A5:C5"/>
    <mergeCell ref="A8:C8"/>
    <mergeCell ref="A15:D15"/>
    <mergeCell ref="A12:H12"/>
    <mergeCell ref="E14:H14"/>
    <mergeCell ref="D7:H7"/>
    <mergeCell ref="A2:H2"/>
    <mergeCell ref="A9:C9"/>
    <mergeCell ref="A16:D16"/>
    <mergeCell ref="D9:H9"/>
    <mergeCell ref="E13:H13"/>
    <mergeCell ref="A4:H4"/>
    <mergeCell ref="D8:H8"/>
    <mergeCell ref="A6:C6"/>
    <mergeCell ref="D5:H5"/>
    <mergeCell ref="E15:H15"/>
    <mergeCell ref="A7:C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0" customWidth="1" min="3" max="3"/>
    <col width="22" customWidth="1" min="4" max="4"/>
    <col width="16" customWidth="1" min="5" max="5"/>
    <col width="16" customWidth="1" min="6" max="6"/>
    <col width="8" customWidth="1" min="7" max="7"/>
    <col width="14" customWidth="1" min="8" max="8"/>
    <col width="16" customWidth="1" min="9" max="9"/>
    <col width="18" customWidth="1" min="10" max="10"/>
  </cols>
  <sheetData>
    <row r="1" ht="32" customHeight="1">
      <c r="A1" s="17" t="inlineStr">
        <is>
          <t>INKOMSTEN — Zeker ZZP</t>
        </is>
      </c>
    </row>
    <row r="2" ht="16" customHeight="1">
      <c r="A2" s="2" t="inlineStr">
        <is>
          <t>Voer hieronder elke betaalde factuur in. Bedragen altijd EXCLUSIEF BTW.</t>
        </is>
      </c>
    </row>
    <row r="3" ht="8" customHeight="1"/>
    <row r="4" ht="22" customHeight="1">
      <c r="A4" s="18" t="inlineStr">
        <is>
          <t>#</t>
        </is>
      </c>
      <c r="B4" s="18" t="inlineStr">
        <is>
          <t>Datum</t>
        </is>
      </c>
      <c r="C4" s="18" t="inlineStr">
        <is>
          <t>Omschrijving</t>
        </is>
      </c>
      <c r="D4" s="18" t="inlineStr">
        <is>
          <t>Klant</t>
        </is>
      </c>
      <c r="E4" s="18" t="inlineStr">
        <is>
          <t>Factuurnummer</t>
        </is>
      </c>
      <c r="F4" s="18" t="inlineStr">
        <is>
          <t>Excl. BTW (€)</t>
        </is>
      </c>
      <c r="G4" s="18" t="inlineStr">
        <is>
          <t>BTW %</t>
        </is>
      </c>
      <c r="H4" s="18" t="inlineStr">
        <is>
          <t>BTW (€)</t>
        </is>
      </c>
      <c r="I4" s="18" t="inlineStr">
        <is>
          <t>Incl. BTW (€)</t>
        </is>
      </c>
      <c r="J4" s="18" t="inlineStr">
        <is>
          <t>Categorie</t>
        </is>
      </c>
    </row>
    <row r="5" ht="20" customHeight="1">
      <c r="A5" s="19" t="n">
        <v>1</v>
      </c>
      <c r="B5" s="20" t="inlineStr">
        <is>
          <t>01-04-2025</t>
        </is>
      </c>
      <c r="C5" s="21" t="inlineStr">
        <is>
          <t>Website bouwen</t>
        </is>
      </c>
      <c r="D5" s="21" t="inlineStr">
        <is>
          <t>Bedrijf BV</t>
        </is>
      </c>
      <c r="E5" s="21" t="inlineStr">
        <is>
          <t>2025-001</t>
        </is>
      </c>
      <c r="F5" s="22" t="n">
        <v>1500</v>
      </c>
      <c r="G5" s="23" t="n">
        <v>21</v>
      </c>
      <c r="H5" s="24">
        <f>F5*G5/100</f>
        <v/>
      </c>
      <c r="I5" s="24">
        <f>F5+H5</f>
        <v/>
      </c>
      <c r="J5" s="21" t="inlineStr">
        <is>
          <t>Dienstverlening</t>
        </is>
      </c>
    </row>
    <row r="6" ht="20" customHeight="1">
      <c r="A6" s="25" t="n">
        <v>2</v>
      </c>
      <c r="B6" s="26" t="inlineStr">
        <is>
          <t>15-04-2025</t>
        </is>
      </c>
      <c r="C6" s="27" t="inlineStr">
        <is>
          <t>Consultancy april</t>
        </is>
      </c>
      <c r="D6" s="27" t="inlineStr">
        <is>
          <t>Klant NL</t>
        </is>
      </c>
      <c r="E6" s="27" t="inlineStr">
        <is>
          <t>2025-002</t>
        </is>
      </c>
      <c r="F6" s="28" t="n">
        <v>2200</v>
      </c>
      <c r="G6" s="29" t="n">
        <v>21</v>
      </c>
      <c r="H6" s="30">
        <f>F6*G6/100</f>
        <v/>
      </c>
      <c r="I6" s="30">
        <f>F6+H6</f>
        <v/>
      </c>
      <c r="J6" s="27" t="inlineStr">
        <is>
          <t>Advies</t>
        </is>
      </c>
    </row>
    <row r="7" ht="20" customHeight="1">
      <c r="A7" s="31" t="n"/>
      <c r="B7" s="31" t="n"/>
      <c r="C7" s="31" t="n"/>
      <c r="D7" s="31" t="n"/>
      <c r="E7" s="31" t="n"/>
      <c r="F7" s="22" t="n"/>
      <c r="G7" s="23" t="n"/>
      <c r="H7" s="24">
        <f>IF(F7="","",F7*G7/100)</f>
        <v/>
      </c>
      <c r="I7" s="24">
        <f>IF(F7="","",F7+H7)</f>
        <v/>
      </c>
      <c r="J7" s="31" t="n"/>
    </row>
    <row r="8" ht="20" customHeight="1">
      <c r="A8" s="32" t="n"/>
      <c r="B8" s="32" t="n"/>
      <c r="C8" s="32" t="n"/>
      <c r="D8" s="32" t="n"/>
      <c r="E8" s="32" t="n"/>
      <c r="F8" s="28" t="n"/>
      <c r="G8" s="29" t="n"/>
      <c r="H8" s="30">
        <f>IF(F8="","",F8*G8/100)</f>
        <v/>
      </c>
      <c r="I8" s="30">
        <f>IF(F8="","",F8+H8)</f>
        <v/>
      </c>
      <c r="J8" s="32" t="n"/>
    </row>
    <row r="9" ht="20" customHeight="1">
      <c r="A9" s="31" t="n"/>
      <c r="B9" s="31" t="n"/>
      <c r="C9" s="31" t="n"/>
      <c r="D9" s="31" t="n"/>
      <c r="E9" s="31" t="n"/>
      <c r="F9" s="22" t="n"/>
      <c r="G9" s="23" t="n"/>
      <c r="H9" s="24">
        <f>IF(F9="","",F9*G9/100)</f>
        <v/>
      </c>
      <c r="I9" s="24">
        <f>IF(F9="","",F9+H9)</f>
        <v/>
      </c>
      <c r="J9" s="31" t="n"/>
    </row>
    <row r="10" ht="20" customHeight="1">
      <c r="A10" s="32" t="n"/>
      <c r="B10" s="32" t="n"/>
      <c r="C10" s="32" t="n"/>
      <c r="D10" s="32" t="n"/>
      <c r="E10" s="32" t="n"/>
      <c r="F10" s="28" t="n"/>
      <c r="G10" s="29" t="n"/>
      <c r="H10" s="30">
        <f>IF(F10="","",F10*G10/100)</f>
        <v/>
      </c>
      <c r="I10" s="30">
        <f>IF(F10="","",F10+H10)</f>
        <v/>
      </c>
      <c r="J10" s="32" t="n"/>
    </row>
    <row r="11" ht="20" customHeight="1">
      <c r="A11" s="31" t="n"/>
      <c r="B11" s="31" t="n"/>
      <c r="C11" s="31" t="n"/>
      <c r="D11" s="31" t="n"/>
      <c r="E11" s="31" t="n"/>
      <c r="F11" s="22" t="n"/>
      <c r="G11" s="23" t="n"/>
      <c r="H11" s="24">
        <f>IF(F11="","",F11*G11/100)</f>
        <v/>
      </c>
      <c r="I11" s="24">
        <f>IF(F11="","",F11+H11)</f>
        <v/>
      </c>
      <c r="J11" s="31" t="n"/>
    </row>
    <row r="12" ht="20" customHeight="1">
      <c r="A12" s="32" t="n"/>
      <c r="B12" s="32" t="n"/>
      <c r="C12" s="32" t="n"/>
      <c r="D12" s="32" t="n"/>
      <c r="E12" s="32" t="n"/>
      <c r="F12" s="28" t="n"/>
      <c r="G12" s="29" t="n"/>
      <c r="H12" s="30">
        <f>IF(F12="","",F12*G12/100)</f>
        <v/>
      </c>
      <c r="I12" s="30">
        <f>IF(F12="","",F12+H12)</f>
        <v/>
      </c>
      <c r="J12" s="32" t="n"/>
    </row>
    <row r="13" ht="20" customHeight="1">
      <c r="A13" s="31" t="n"/>
      <c r="B13" s="31" t="n"/>
      <c r="C13" s="31" t="n"/>
      <c r="D13" s="31" t="n"/>
      <c r="E13" s="31" t="n"/>
      <c r="F13" s="22" t="n"/>
      <c r="G13" s="23" t="n"/>
      <c r="H13" s="24">
        <f>IF(F13="","",F13*G13/100)</f>
        <v/>
      </c>
      <c r="I13" s="24">
        <f>IF(F13="","",F13+H13)</f>
        <v/>
      </c>
      <c r="J13" s="31" t="n"/>
    </row>
    <row r="14" ht="20" customHeight="1">
      <c r="A14" s="32" t="n"/>
      <c r="B14" s="32" t="n"/>
      <c r="C14" s="32" t="n"/>
      <c r="D14" s="32" t="n"/>
      <c r="E14" s="32" t="n"/>
      <c r="F14" s="28" t="n"/>
      <c r="G14" s="29" t="n"/>
      <c r="H14" s="30">
        <f>IF(F14="","",F14*G14/100)</f>
        <v/>
      </c>
      <c r="I14" s="30">
        <f>IF(F14="","",F14+H14)</f>
        <v/>
      </c>
      <c r="J14" s="32" t="n"/>
    </row>
    <row r="15" ht="20" customHeight="1">
      <c r="A15" s="31" t="n"/>
      <c r="B15" s="31" t="n"/>
      <c r="C15" s="31" t="n"/>
      <c r="D15" s="31" t="n"/>
      <c r="E15" s="31" t="n"/>
      <c r="F15" s="22" t="n"/>
      <c r="G15" s="23" t="n"/>
      <c r="H15" s="24">
        <f>IF(F15="","",F15*G15/100)</f>
        <v/>
      </c>
      <c r="I15" s="24">
        <f>IF(F15="","",F15+H15)</f>
        <v/>
      </c>
      <c r="J15" s="31" t="n"/>
    </row>
    <row r="16" ht="20" customHeight="1">
      <c r="A16" s="32" t="n"/>
      <c r="B16" s="32" t="n"/>
      <c r="C16" s="32" t="n"/>
      <c r="D16" s="32" t="n"/>
      <c r="E16" s="32" t="n"/>
      <c r="F16" s="28" t="n"/>
      <c r="G16" s="29" t="n"/>
      <c r="H16" s="30">
        <f>IF(F16="","",F16*G16/100)</f>
        <v/>
      </c>
      <c r="I16" s="30">
        <f>IF(F16="","",F16+H16)</f>
        <v/>
      </c>
      <c r="J16" s="32" t="n"/>
    </row>
    <row r="17" ht="20" customHeight="1">
      <c r="A17" s="31" t="n"/>
      <c r="B17" s="31" t="n"/>
      <c r="C17" s="31" t="n"/>
      <c r="D17" s="31" t="n"/>
      <c r="E17" s="31" t="n"/>
      <c r="F17" s="22" t="n"/>
      <c r="G17" s="23" t="n"/>
      <c r="H17" s="24">
        <f>IF(F17="","",F17*G17/100)</f>
        <v/>
      </c>
      <c r="I17" s="24">
        <f>IF(F17="","",F17+H17)</f>
        <v/>
      </c>
      <c r="J17" s="31" t="n"/>
    </row>
    <row r="18" ht="20" customHeight="1">
      <c r="A18" s="32" t="n"/>
      <c r="B18" s="32" t="n"/>
      <c r="C18" s="32" t="n"/>
      <c r="D18" s="32" t="n"/>
      <c r="E18" s="32" t="n"/>
      <c r="F18" s="28" t="n"/>
      <c r="G18" s="29" t="n"/>
      <c r="H18" s="30">
        <f>IF(F18="","",F18*G18/100)</f>
        <v/>
      </c>
      <c r="I18" s="30">
        <f>IF(F18="","",F18+H18)</f>
        <v/>
      </c>
      <c r="J18" s="32" t="n"/>
    </row>
    <row r="19" ht="20" customHeight="1">
      <c r="A19" s="31" t="n"/>
      <c r="B19" s="31" t="n"/>
      <c r="C19" s="31" t="n"/>
      <c r="D19" s="31" t="n"/>
      <c r="E19" s="31" t="n"/>
      <c r="F19" s="22" t="n"/>
      <c r="G19" s="23" t="n"/>
      <c r="H19" s="24">
        <f>IF(F19="","",F19*G19/100)</f>
        <v/>
      </c>
      <c r="I19" s="24">
        <f>IF(F19="","",F19+H19)</f>
        <v/>
      </c>
      <c r="J19" s="31" t="n"/>
    </row>
    <row r="20" ht="20" customHeight="1">
      <c r="A20" s="32" t="n"/>
      <c r="B20" s="32" t="n"/>
      <c r="C20" s="32" t="n"/>
      <c r="D20" s="32" t="n"/>
      <c r="E20" s="32" t="n"/>
      <c r="F20" s="28" t="n"/>
      <c r="G20" s="29" t="n"/>
      <c r="H20" s="30">
        <f>IF(F20="","",F20*G20/100)</f>
        <v/>
      </c>
      <c r="I20" s="30">
        <f>IF(F20="","",F20+H20)</f>
        <v/>
      </c>
      <c r="J20" s="32" t="n"/>
    </row>
    <row r="21" ht="20" customHeight="1">
      <c r="A21" s="31" t="n"/>
      <c r="B21" s="31" t="n"/>
      <c r="C21" s="31" t="n"/>
      <c r="D21" s="31" t="n"/>
      <c r="E21" s="31" t="n"/>
      <c r="F21" s="22" t="n"/>
      <c r="G21" s="23" t="n"/>
      <c r="H21" s="24">
        <f>IF(F21="","",F21*G21/100)</f>
        <v/>
      </c>
      <c r="I21" s="24">
        <f>IF(F21="","",F21+H21)</f>
        <v/>
      </c>
      <c r="J21" s="31" t="n"/>
    </row>
    <row r="22" ht="20" customHeight="1">
      <c r="A22" s="32" t="n"/>
      <c r="B22" s="32" t="n"/>
      <c r="C22" s="32" t="n"/>
      <c r="D22" s="32" t="n"/>
      <c r="E22" s="32" t="n"/>
      <c r="F22" s="28" t="n"/>
      <c r="G22" s="29" t="n"/>
      <c r="H22" s="30">
        <f>IF(F22="","",F22*G22/100)</f>
        <v/>
      </c>
      <c r="I22" s="30">
        <f>IF(F22="","",F22+H22)</f>
        <v/>
      </c>
      <c r="J22" s="32" t="n"/>
    </row>
    <row r="23" ht="20" customHeight="1">
      <c r="A23" s="31" t="n"/>
      <c r="B23" s="31" t="n"/>
      <c r="C23" s="31" t="n"/>
      <c r="D23" s="31" t="n"/>
      <c r="E23" s="31" t="n"/>
      <c r="F23" s="22" t="n"/>
      <c r="G23" s="23" t="n"/>
      <c r="H23" s="24">
        <f>IF(F23="","",F23*G23/100)</f>
        <v/>
      </c>
      <c r="I23" s="24">
        <f>IF(F23="","",F23+H23)</f>
        <v/>
      </c>
      <c r="J23" s="31" t="n"/>
    </row>
    <row r="24" ht="20" customHeight="1">
      <c r="A24" s="32" t="n"/>
      <c r="B24" s="32" t="n"/>
      <c r="C24" s="32" t="n"/>
      <c r="D24" s="32" t="n"/>
      <c r="E24" s="32" t="n"/>
      <c r="F24" s="28" t="n"/>
      <c r="G24" s="29" t="n"/>
      <c r="H24" s="30">
        <f>IF(F24="","",F24*G24/100)</f>
        <v/>
      </c>
      <c r="I24" s="30">
        <f>IF(F24="","",F24+H24)</f>
        <v/>
      </c>
      <c r="J24" s="32" t="n"/>
    </row>
    <row r="25" ht="20" customHeight="1">
      <c r="A25" s="31" t="n"/>
      <c r="B25" s="31" t="n"/>
      <c r="C25" s="31" t="n"/>
      <c r="D25" s="31" t="n"/>
      <c r="E25" s="31" t="n"/>
      <c r="F25" s="22" t="n"/>
      <c r="G25" s="23" t="n"/>
      <c r="H25" s="24">
        <f>IF(F25="","",F25*G25/100)</f>
        <v/>
      </c>
      <c r="I25" s="24">
        <f>IF(F25="","",F25+H25)</f>
        <v/>
      </c>
      <c r="J25" s="31" t="n"/>
    </row>
    <row r="26" ht="20" customHeight="1">
      <c r="A26" s="32" t="n"/>
      <c r="B26" s="32" t="n"/>
      <c r="C26" s="32" t="n"/>
      <c r="D26" s="32" t="n"/>
      <c r="E26" s="32" t="n"/>
      <c r="F26" s="28" t="n"/>
      <c r="G26" s="29" t="n"/>
      <c r="H26" s="30">
        <f>IF(F26="","",F26*G26/100)</f>
        <v/>
      </c>
      <c r="I26" s="30">
        <f>IF(F26="","",F26+H26)</f>
        <v/>
      </c>
      <c r="J26" s="32" t="n"/>
    </row>
    <row r="27" ht="24" customHeight="1">
      <c r="A27" s="33" t="inlineStr">
        <is>
          <t>TOTAAL</t>
        </is>
      </c>
      <c r="F27" s="34">
        <f>SUM(F5:F26)</f>
        <v/>
      </c>
      <c r="G27" s="35" t="n"/>
      <c r="H27" s="34">
        <f>SUM(H5:H26)</f>
        <v/>
      </c>
      <c r="I27" s="34">
        <f>SUM(I5:I26)</f>
        <v/>
      </c>
      <c r="J27" s="35" t="n"/>
    </row>
  </sheetData>
  <mergeCells count="3">
    <mergeCell ref="A1:J1"/>
    <mergeCell ref="A27:E2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0" customWidth="1" min="3" max="3"/>
    <col width="22" customWidth="1" min="4" max="4"/>
    <col width="18" customWidth="1" min="5" max="5"/>
    <col width="16" customWidth="1" min="6" max="6"/>
    <col width="8" customWidth="1" min="7" max="7"/>
    <col width="14" customWidth="1" min="8" max="8"/>
    <col width="16" customWidth="1" min="9" max="9"/>
    <col width="20" customWidth="1" min="10" max="10"/>
  </cols>
  <sheetData>
    <row r="1" ht="32" customHeight="1">
      <c r="A1" s="36" t="inlineStr">
        <is>
          <t>UITGAVEN — Zeker ZZP</t>
        </is>
      </c>
    </row>
    <row r="2" ht="16" customHeight="1">
      <c r="A2" s="2" t="inlineStr">
        <is>
          <t>Voer hieronder je zakelijke kosten in. De BTW die je betaalt kun je terugvragen van de Belastingdienst.</t>
        </is>
      </c>
    </row>
    <row r="3" ht="8" customHeight="1"/>
    <row r="4" ht="22" customHeight="1">
      <c r="A4" s="37" t="inlineStr">
        <is>
          <t>#</t>
        </is>
      </c>
      <c r="B4" s="37" t="inlineStr">
        <is>
          <t>Datum</t>
        </is>
      </c>
      <c r="C4" s="37" t="inlineStr">
        <is>
          <t>Omschrijving</t>
        </is>
      </c>
      <c r="D4" s="37" t="inlineStr">
        <is>
          <t>Leverancier</t>
        </is>
      </c>
      <c r="E4" s="37" t="inlineStr">
        <is>
          <t>Categorie</t>
        </is>
      </c>
      <c r="F4" s="37" t="inlineStr">
        <is>
          <t>Excl. BTW (€)</t>
        </is>
      </c>
      <c r="G4" s="37" t="inlineStr">
        <is>
          <t>BTW %</t>
        </is>
      </c>
      <c r="H4" s="37" t="inlineStr">
        <is>
          <t>BTW terug (€)</t>
        </is>
      </c>
      <c r="I4" s="37" t="inlineStr">
        <is>
          <t>Incl. BTW (€)</t>
        </is>
      </c>
      <c r="J4" s="37" t="inlineStr">
        <is>
          <t>Notitie</t>
        </is>
      </c>
    </row>
    <row r="5" ht="20" customHeight="1">
      <c r="A5" s="38" t="n">
        <v>1</v>
      </c>
      <c r="B5" s="39" t="inlineStr">
        <is>
          <t>02-04-2025</t>
        </is>
      </c>
      <c r="C5" s="40" t="inlineStr">
        <is>
          <t>Adobe abonnement</t>
        </is>
      </c>
      <c r="D5" s="40" t="inlineStr">
        <is>
          <t>Adobe</t>
        </is>
      </c>
      <c r="E5" s="40" t="inlineStr">
        <is>
          <t>Software</t>
        </is>
      </c>
      <c r="F5" s="41" t="n">
        <v>49.58</v>
      </c>
      <c r="G5" s="42" t="n">
        <v>21</v>
      </c>
      <c r="H5" s="43">
        <f>F5*G5/100</f>
        <v/>
      </c>
      <c r="I5" s="43">
        <f>F5+H5</f>
        <v/>
      </c>
      <c r="J5" s="40" t="inlineStr">
        <is>
          <t>Maandelijks</t>
        </is>
      </c>
    </row>
    <row r="6" ht="20" customHeight="1">
      <c r="A6" s="25" t="n">
        <v>2</v>
      </c>
      <c r="B6" s="26" t="inlineStr">
        <is>
          <t>10-04-2025</t>
        </is>
      </c>
      <c r="C6" s="27" t="inlineStr">
        <is>
          <t>Kantoorbenodigdheden</t>
        </is>
      </c>
      <c r="D6" s="27" t="inlineStr">
        <is>
          <t>Staples</t>
        </is>
      </c>
      <c r="E6" s="27" t="inlineStr">
        <is>
          <t>Kantoor</t>
        </is>
      </c>
      <c r="F6" s="28" t="n">
        <v>85</v>
      </c>
      <c r="G6" s="29" t="n">
        <v>21</v>
      </c>
      <c r="H6" s="30">
        <f>F6*G6/100</f>
        <v/>
      </c>
      <c r="I6" s="30">
        <f>F6+H6</f>
        <v/>
      </c>
      <c r="J6" s="27" t="inlineStr"/>
    </row>
    <row r="7" ht="20" customHeight="1">
      <c r="A7" s="44" t="n"/>
      <c r="B7" s="44" t="n"/>
      <c r="C7" s="44" t="n"/>
      <c r="D7" s="44" t="n"/>
      <c r="E7" s="44" t="n"/>
      <c r="F7" s="41" t="n"/>
      <c r="G7" s="42" t="n"/>
      <c r="H7" s="45">
        <f>IF(F7="","",F7*G7/100)</f>
        <v/>
      </c>
      <c r="I7" s="45">
        <f>IF(F7="","",F7+H7)</f>
        <v/>
      </c>
      <c r="J7" s="44" t="n"/>
    </row>
    <row r="8" ht="20" customHeight="1">
      <c r="A8" s="32" t="n"/>
      <c r="B8" s="32" t="n"/>
      <c r="C8" s="32" t="n"/>
      <c r="D8" s="32" t="n"/>
      <c r="E8" s="32" t="n"/>
      <c r="F8" s="28" t="n"/>
      <c r="G8" s="29" t="n"/>
      <c r="H8" s="46">
        <f>IF(F8="","",F8*G8/100)</f>
        <v/>
      </c>
      <c r="I8" s="46">
        <f>IF(F8="","",F8+H8)</f>
        <v/>
      </c>
      <c r="J8" s="32" t="n"/>
    </row>
    <row r="9" ht="20" customHeight="1">
      <c r="A9" s="44" t="n"/>
      <c r="B9" s="44" t="n"/>
      <c r="C9" s="44" t="n"/>
      <c r="D9" s="44" t="n"/>
      <c r="E9" s="44" t="n"/>
      <c r="F9" s="41" t="n"/>
      <c r="G9" s="42" t="n"/>
      <c r="H9" s="45">
        <f>IF(F9="","",F9*G9/100)</f>
        <v/>
      </c>
      <c r="I9" s="45">
        <f>IF(F9="","",F9+H9)</f>
        <v/>
      </c>
      <c r="J9" s="44" t="n"/>
    </row>
    <row r="10" ht="20" customHeight="1">
      <c r="A10" s="32" t="n"/>
      <c r="B10" s="32" t="n"/>
      <c r="C10" s="32" t="n"/>
      <c r="D10" s="32" t="n"/>
      <c r="E10" s="32" t="n"/>
      <c r="F10" s="28" t="n"/>
      <c r="G10" s="29" t="n"/>
      <c r="H10" s="46">
        <f>IF(F10="","",F10*G10/100)</f>
        <v/>
      </c>
      <c r="I10" s="46">
        <f>IF(F10="","",F10+H10)</f>
        <v/>
      </c>
      <c r="J10" s="32" t="n"/>
    </row>
    <row r="11" ht="20" customHeight="1">
      <c r="A11" s="44" t="n"/>
      <c r="B11" s="44" t="n"/>
      <c r="C11" s="44" t="n"/>
      <c r="D11" s="44" t="n"/>
      <c r="E11" s="44" t="n"/>
      <c r="F11" s="41" t="n"/>
      <c r="G11" s="42" t="n"/>
      <c r="H11" s="45">
        <f>IF(F11="","",F11*G11/100)</f>
        <v/>
      </c>
      <c r="I11" s="45">
        <f>IF(F11="","",F11+H11)</f>
        <v/>
      </c>
      <c r="J11" s="44" t="n"/>
    </row>
    <row r="12" ht="20" customHeight="1">
      <c r="A12" s="32" t="n"/>
      <c r="B12" s="32" t="n"/>
      <c r="C12" s="32" t="n"/>
      <c r="D12" s="32" t="n"/>
      <c r="E12" s="32" t="n"/>
      <c r="F12" s="28" t="n"/>
      <c r="G12" s="29" t="n"/>
      <c r="H12" s="46">
        <f>IF(F12="","",F12*G12/100)</f>
        <v/>
      </c>
      <c r="I12" s="46">
        <f>IF(F12="","",F12+H12)</f>
        <v/>
      </c>
      <c r="J12" s="32" t="n"/>
    </row>
    <row r="13" ht="20" customHeight="1">
      <c r="A13" s="44" t="n"/>
      <c r="B13" s="44" t="n"/>
      <c r="C13" s="44" t="n"/>
      <c r="D13" s="44" t="n"/>
      <c r="E13" s="44" t="n"/>
      <c r="F13" s="41" t="n"/>
      <c r="G13" s="42" t="n"/>
      <c r="H13" s="45">
        <f>IF(F13="","",F13*G13/100)</f>
        <v/>
      </c>
      <c r="I13" s="45">
        <f>IF(F13="","",F13+H13)</f>
        <v/>
      </c>
      <c r="J13" s="44" t="n"/>
    </row>
    <row r="14" ht="20" customHeight="1">
      <c r="A14" s="32" t="n"/>
      <c r="B14" s="32" t="n"/>
      <c r="C14" s="32" t="n"/>
      <c r="D14" s="32" t="n"/>
      <c r="E14" s="32" t="n"/>
      <c r="F14" s="28" t="n"/>
      <c r="G14" s="29" t="n"/>
      <c r="H14" s="46">
        <f>IF(F14="","",F14*G14/100)</f>
        <v/>
      </c>
      <c r="I14" s="46">
        <f>IF(F14="","",F14+H14)</f>
        <v/>
      </c>
      <c r="J14" s="32" t="n"/>
    </row>
    <row r="15" ht="20" customHeight="1">
      <c r="A15" s="44" t="n"/>
      <c r="B15" s="44" t="n"/>
      <c r="C15" s="44" t="n"/>
      <c r="D15" s="44" t="n"/>
      <c r="E15" s="44" t="n"/>
      <c r="F15" s="41" t="n"/>
      <c r="G15" s="42" t="n"/>
      <c r="H15" s="45">
        <f>IF(F15="","",F15*G15/100)</f>
        <v/>
      </c>
      <c r="I15" s="45">
        <f>IF(F15="","",F15+H15)</f>
        <v/>
      </c>
      <c r="J15" s="44" t="n"/>
    </row>
    <row r="16" ht="20" customHeight="1">
      <c r="A16" s="32" t="n"/>
      <c r="B16" s="32" t="n"/>
      <c r="C16" s="32" t="n"/>
      <c r="D16" s="32" t="n"/>
      <c r="E16" s="32" t="n"/>
      <c r="F16" s="28" t="n"/>
      <c r="G16" s="29" t="n"/>
      <c r="H16" s="46">
        <f>IF(F16="","",F16*G16/100)</f>
        <v/>
      </c>
      <c r="I16" s="46">
        <f>IF(F16="","",F16+H16)</f>
        <v/>
      </c>
      <c r="J16" s="32" t="n"/>
    </row>
    <row r="17" ht="20" customHeight="1">
      <c r="A17" s="44" t="n"/>
      <c r="B17" s="44" t="n"/>
      <c r="C17" s="44" t="n"/>
      <c r="D17" s="44" t="n"/>
      <c r="E17" s="44" t="n"/>
      <c r="F17" s="41" t="n"/>
      <c r="G17" s="42" t="n"/>
      <c r="H17" s="45">
        <f>IF(F17="","",F17*G17/100)</f>
        <v/>
      </c>
      <c r="I17" s="45">
        <f>IF(F17="","",F17+H17)</f>
        <v/>
      </c>
      <c r="J17" s="44" t="n"/>
    </row>
    <row r="18" ht="20" customHeight="1">
      <c r="A18" s="32" t="n"/>
      <c r="B18" s="32" t="n"/>
      <c r="C18" s="32" t="n"/>
      <c r="D18" s="32" t="n"/>
      <c r="E18" s="32" t="n"/>
      <c r="F18" s="28" t="n"/>
      <c r="G18" s="29" t="n"/>
      <c r="H18" s="46">
        <f>IF(F18="","",F18*G18/100)</f>
        <v/>
      </c>
      <c r="I18" s="46">
        <f>IF(F18="","",F18+H18)</f>
        <v/>
      </c>
      <c r="J18" s="32" t="n"/>
    </row>
    <row r="19" ht="20" customHeight="1">
      <c r="A19" s="44" t="n"/>
      <c r="B19" s="44" t="n"/>
      <c r="C19" s="44" t="n"/>
      <c r="D19" s="44" t="n"/>
      <c r="E19" s="44" t="n"/>
      <c r="F19" s="41" t="n"/>
      <c r="G19" s="42" t="n"/>
      <c r="H19" s="45">
        <f>IF(F19="","",F19*G19/100)</f>
        <v/>
      </c>
      <c r="I19" s="45">
        <f>IF(F19="","",F19+H19)</f>
        <v/>
      </c>
      <c r="J19" s="44" t="n"/>
    </row>
    <row r="20" ht="20" customHeight="1">
      <c r="A20" s="32" t="n"/>
      <c r="B20" s="32" t="n"/>
      <c r="C20" s="32" t="n"/>
      <c r="D20" s="32" t="n"/>
      <c r="E20" s="32" t="n"/>
      <c r="F20" s="28" t="n"/>
      <c r="G20" s="29" t="n"/>
      <c r="H20" s="46">
        <f>IF(F20="","",F20*G20/100)</f>
        <v/>
      </c>
      <c r="I20" s="46">
        <f>IF(F20="","",F20+H20)</f>
        <v/>
      </c>
      <c r="J20" s="32" t="n"/>
    </row>
    <row r="21" ht="20" customHeight="1">
      <c r="A21" s="44" t="n"/>
      <c r="B21" s="44" t="n"/>
      <c r="C21" s="44" t="n"/>
      <c r="D21" s="44" t="n"/>
      <c r="E21" s="44" t="n"/>
      <c r="F21" s="41" t="n"/>
      <c r="G21" s="42" t="n"/>
      <c r="H21" s="45">
        <f>IF(F21="","",F21*G21/100)</f>
        <v/>
      </c>
      <c r="I21" s="45">
        <f>IF(F21="","",F21+H21)</f>
        <v/>
      </c>
      <c r="J21" s="44" t="n"/>
    </row>
    <row r="22" ht="20" customHeight="1">
      <c r="A22" s="32" t="n"/>
      <c r="B22" s="32" t="n"/>
      <c r="C22" s="32" t="n"/>
      <c r="D22" s="32" t="n"/>
      <c r="E22" s="32" t="n"/>
      <c r="F22" s="28" t="n"/>
      <c r="G22" s="29" t="n"/>
      <c r="H22" s="46">
        <f>IF(F22="","",F22*G22/100)</f>
        <v/>
      </c>
      <c r="I22" s="46">
        <f>IF(F22="","",F22+H22)</f>
        <v/>
      </c>
      <c r="J22" s="32" t="n"/>
    </row>
    <row r="23" ht="20" customHeight="1">
      <c r="A23" s="44" t="n"/>
      <c r="B23" s="44" t="n"/>
      <c r="C23" s="44" t="n"/>
      <c r="D23" s="44" t="n"/>
      <c r="E23" s="44" t="n"/>
      <c r="F23" s="41" t="n"/>
      <c r="G23" s="42" t="n"/>
      <c r="H23" s="45">
        <f>IF(F23="","",F23*G23/100)</f>
        <v/>
      </c>
      <c r="I23" s="45">
        <f>IF(F23="","",F23+H23)</f>
        <v/>
      </c>
      <c r="J23" s="44" t="n"/>
    </row>
    <row r="24" ht="20" customHeight="1">
      <c r="A24" s="32" t="n"/>
      <c r="B24" s="32" t="n"/>
      <c r="C24" s="32" t="n"/>
      <c r="D24" s="32" t="n"/>
      <c r="E24" s="32" t="n"/>
      <c r="F24" s="28" t="n"/>
      <c r="G24" s="29" t="n"/>
      <c r="H24" s="46">
        <f>IF(F24="","",F24*G24/100)</f>
        <v/>
      </c>
      <c r="I24" s="46">
        <f>IF(F24="","",F24+H24)</f>
        <v/>
      </c>
      <c r="J24" s="32" t="n"/>
    </row>
    <row r="25" ht="20" customHeight="1">
      <c r="A25" s="44" t="n"/>
      <c r="B25" s="44" t="n"/>
      <c r="C25" s="44" t="n"/>
      <c r="D25" s="44" t="n"/>
      <c r="E25" s="44" t="n"/>
      <c r="F25" s="41" t="n"/>
      <c r="G25" s="42" t="n"/>
      <c r="H25" s="45">
        <f>IF(F25="","",F25*G25/100)</f>
        <v/>
      </c>
      <c r="I25" s="45">
        <f>IF(F25="","",F25+H25)</f>
        <v/>
      </c>
      <c r="J25" s="44" t="n"/>
    </row>
    <row r="26" ht="20" customHeight="1">
      <c r="A26" s="32" t="n"/>
      <c r="B26" s="32" t="n"/>
      <c r="C26" s="32" t="n"/>
      <c r="D26" s="32" t="n"/>
      <c r="E26" s="32" t="n"/>
      <c r="F26" s="28" t="n"/>
      <c r="G26" s="29" t="n"/>
      <c r="H26" s="46">
        <f>IF(F26="","",F26*G26/100)</f>
        <v/>
      </c>
      <c r="I26" s="46">
        <f>IF(F26="","",F26+H26)</f>
        <v/>
      </c>
      <c r="J26" s="32" t="n"/>
    </row>
    <row r="27" ht="24" customHeight="1">
      <c r="A27" s="47" t="inlineStr">
        <is>
          <t>TOTAAL</t>
        </is>
      </c>
      <c r="F27" s="48">
        <f>SUM(F5:F26)</f>
        <v/>
      </c>
      <c r="G27" s="49" t="n"/>
      <c r="H27" s="48">
        <f>SUM(H5:H26)</f>
        <v/>
      </c>
      <c r="I27" s="48">
        <f>SUM(I5:I26)</f>
        <v/>
      </c>
      <c r="J27" s="49" t="n"/>
    </row>
  </sheetData>
  <mergeCells count="3">
    <mergeCell ref="A1:J1"/>
    <mergeCell ref="A27:E2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0" customWidth="1" min="3" max="3"/>
    <col width="12" customWidth="1" min="4" max="4"/>
  </cols>
  <sheetData>
    <row r="1" ht="32" customHeight="1">
      <c r="A1" s="50" t="inlineStr">
        <is>
          <t>BTW-AANGIFTE — Zeker ZZP</t>
        </is>
      </c>
    </row>
    <row r="2" ht="10" customHeight="1"/>
    <row r="3" ht="22" customHeight="1">
      <c r="A3" s="51" t="inlineStr">
        <is>
          <t>BTW BEREKENING</t>
        </is>
      </c>
    </row>
    <row r="4" ht="22" customHeight="1">
      <c r="A4" s="52" t="inlineStr">
        <is>
          <t>BTW ontvangen van klanten</t>
        </is>
      </c>
      <c r="B4" s="53">
        <f>SUM(Inkomsten!H5:H26)</f>
        <v/>
      </c>
      <c r="C4" s="54" t="inlineStr">
        <is>
          <t>Rubriek 1a (omzet belast met 21%)</t>
        </is>
      </c>
    </row>
    <row r="5" ht="22" customHeight="1">
      <c r="A5" s="55" t="inlineStr">
        <is>
          <t>BTW betaald op kosten (aftrekbaar)</t>
        </is>
      </c>
      <c r="B5" s="56">
        <f>SUM(Uitgaven!H5:H26)</f>
        <v/>
      </c>
      <c r="C5" s="57" t="inlineStr">
        <is>
          <t>Rubriek 5b (voorbelasting)</t>
        </is>
      </c>
    </row>
    <row r="6" ht="22" customHeight="1">
      <c r="A6" s="58" t="inlineStr">
        <is>
          <t>BTW-saldo (te betalen / terug)</t>
        </is>
      </c>
      <c r="B6" s="59">
        <f>B4-B5</f>
        <v/>
      </c>
      <c r="C6" s="60" t="inlineStr">
        <is>
          <t>Positief = betalen, Negatief = terug</t>
        </is>
      </c>
    </row>
    <row r="7" ht="22" customHeight="1"/>
    <row r="8" ht="22" customHeight="1">
      <c r="A8" s="51" t="inlineStr">
        <is>
          <t>OMZET OVERZICHT</t>
        </is>
      </c>
    </row>
    <row r="9" ht="22" customHeight="1">
      <c r="A9" s="52" t="inlineStr">
        <is>
          <t>Totale omzet excl. BTW</t>
        </is>
      </c>
      <c r="B9" s="53">
        <f>SUM(Inkomsten!F5:F26)</f>
        <v/>
      </c>
      <c r="C9" s="54" t="inlineStr">
        <is>
          <t>Vul in bij rubriek 1a</t>
        </is>
      </c>
    </row>
    <row r="10" ht="22" customHeight="1">
      <c r="A10" s="55" t="inlineStr">
        <is>
          <t>Totale kosten excl. BTW</t>
        </is>
      </c>
      <c r="B10" s="56">
        <f>SUM(Uitgaven!F5:F26)</f>
        <v/>
      </c>
      <c r="C10" s="57" t="inlineStr"/>
    </row>
    <row r="11" ht="22" customHeight="1">
      <c r="A11" s="61" t="inlineStr">
        <is>
          <t>Winst (voor belasting)</t>
        </is>
      </c>
      <c r="B11" s="62">
        <f>B9-B10</f>
        <v/>
      </c>
      <c r="C11" s="63" t="inlineStr">
        <is>
          <t>Omzet minus kosten</t>
        </is>
      </c>
    </row>
    <row r="12" ht="22" customHeight="1">
      <c r="A12" s="64" t="inlineStr">
        <is>
          <t>Netto in je zak (na BTW)</t>
        </is>
      </c>
      <c r="B12" s="65">
        <f>B11-IF(B6&gt;0,B6,0)</f>
        <v/>
      </c>
      <c r="C12" s="54" t="inlineStr">
        <is>
          <t>Winst minus BTW-betaling</t>
        </is>
      </c>
    </row>
    <row r="13" ht="22" customHeight="1"/>
    <row r="14" ht="22" customHeight="1">
      <c r="A14" s="51" t="inlineStr">
        <is>
          <t>STAPPENPLAN BTW-AANGIFTE</t>
        </is>
      </c>
    </row>
    <row r="15" ht="22" customHeight="1">
      <c r="A15" s="13" t="inlineStr">
        <is>
          <t>Stap 1</t>
        </is>
      </c>
      <c r="B15" s="66" t="inlineStr">
        <is>
          <t>Log in op Mijn Belastingdienst Zakelijk</t>
        </is>
      </c>
      <c r="C15" s="63" t="inlineStr"/>
    </row>
    <row r="16" ht="22" customHeight="1">
      <c r="A16" s="15" t="inlineStr">
        <is>
          <t>Stap 2</t>
        </is>
      </c>
      <c r="B16" s="67" t="inlineStr">
        <is>
          <t>Ga naar BTW-aangifte en kies het juiste kwartaal</t>
        </is>
      </c>
      <c r="C16" s="68" t="inlineStr"/>
    </row>
    <row r="17" ht="22" customHeight="1">
      <c r="A17" s="13" t="inlineStr">
        <is>
          <t>Stap 3</t>
        </is>
      </c>
      <c r="B17" s="66" t="inlineStr">
        <is>
          <t>Vul bij rubriek 1a in: zie cel B9 (omzet)</t>
        </is>
      </c>
      <c r="C17" s="63" t="inlineStr"/>
    </row>
    <row r="18" ht="22" customHeight="1">
      <c r="A18" s="15" t="inlineStr">
        <is>
          <t>Stap 4</t>
        </is>
      </c>
      <c r="B18" s="67" t="inlineStr">
        <is>
          <t>Vul bij rubriek 5b in: zie cel B5 (voorbelasting)</t>
        </is>
      </c>
      <c r="C18" s="68" t="inlineStr"/>
    </row>
    <row r="19" ht="22" customHeight="1">
      <c r="A19" s="13" t="inlineStr">
        <is>
          <t>Stap 5</t>
        </is>
      </c>
      <c r="B19" s="66" t="inlineStr">
        <is>
          <t>Controleer het saldo en betaal of ontvang</t>
        </is>
      </c>
      <c r="C19" s="63" t="inlineStr"/>
    </row>
  </sheetData>
  <mergeCells count="16">
    <mergeCell ref="A1:D1"/>
    <mergeCell ref="C12:D12"/>
    <mergeCell ref="C6:D6"/>
    <mergeCell ref="A8:D8"/>
    <mergeCell ref="C10:D10"/>
    <mergeCell ref="C16:D16"/>
    <mergeCell ref="C15:D15"/>
    <mergeCell ref="C11:D11"/>
    <mergeCell ref="A3:D3"/>
    <mergeCell ref="C5:D5"/>
    <mergeCell ref="C19:D19"/>
    <mergeCell ref="C9:D9"/>
    <mergeCell ref="C17:D17"/>
    <mergeCell ref="C18:D18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2026-06-03T14:40:02Z</dcterms:created>
  <dcterms:modified xmlns:dcterms="http://purl.org/dc/terms/" xmlns:xsi="http://www.w3.org/2001/XMLSchema-instance" xsi:type="dcterms:W3CDTF">2026-06-03T14:40:02Z</dcterms:modified>
</cp:coreProperties>
</file>